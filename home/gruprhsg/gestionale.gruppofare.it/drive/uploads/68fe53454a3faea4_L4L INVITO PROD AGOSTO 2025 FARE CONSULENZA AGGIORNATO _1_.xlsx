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Vstore\Downloads\"/>
    </mc:Choice>
  </mc:AlternateContent>
  <xr:revisionPtr revIDLastSave="0" documentId="13_ncr:1_{E20E4085-8A97-45C4-9D02-F065F93E33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ORGENIA" sheetId="2" r:id="rId1"/>
  </sheets>
  <definedNames>
    <definedName name="_xlnm._FilterDatabase" localSheetId="0" hidden="1">SORGENIA!$A$1:$BF$7</definedName>
  </definedNames>
  <calcPr calcId="181029"/>
</workbook>
</file>

<file path=xl/calcChain.xml><?xml version="1.0" encoding="utf-8"?>
<calcChain xmlns="http://schemas.openxmlformats.org/spreadsheetml/2006/main">
  <c r="AV33" i="2" l="1"/>
  <c r="AV31" i="2"/>
  <c r="AV30" i="2"/>
  <c r="BF15" i="2" l="1"/>
  <c r="BF8" i="2" l="1"/>
  <c r="BF3" i="2"/>
  <c r="BF4" i="2"/>
  <c r="BF5" i="2"/>
  <c r="BF6" i="2"/>
  <c r="BF7" i="2"/>
  <c r="BF2" i="2"/>
</calcChain>
</file>

<file path=xl/sharedStrings.xml><?xml version="1.0" encoding="utf-8"?>
<sst xmlns="http://schemas.openxmlformats.org/spreadsheetml/2006/main" count="468" uniqueCount="236">
  <si>
    <t>ID Pratica</t>
  </si>
  <si>
    <t>Creato</t>
  </si>
  <si>
    <t>Nome dell'agenzia</t>
  </si>
  <si>
    <t>Assegnato a</t>
  </si>
  <si>
    <t>Committente</t>
  </si>
  <si>
    <t>Azione commerciale</t>
  </si>
  <si>
    <t>Plico</t>
  </si>
  <si>
    <t>Tipo di contratto</t>
  </si>
  <si>
    <t>Tipo di azienda</t>
  </si>
  <si>
    <t>Nome e cognome</t>
  </si>
  <si>
    <t>Ragione Sociale</t>
  </si>
  <si>
    <t>Codice Fiscale</t>
  </si>
  <si>
    <t>P.IVA</t>
  </si>
  <si>
    <t>POD</t>
  </si>
  <si>
    <t>PDR</t>
  </si>
  <si>
    <t>kW</t>
  </si>
  <si>
    <t>MC</t>
  </si>
  <si>
    <t>Anno di consumo</t>
  </si>
  <si>
    <t>Bolletta Web</t>
  </si>
  <si>
    <t>Rid</t>
  </si>
  <si>
    <t>Stato Maurizon</t>
  </si>
  <si>
    <t>Sub Stato Maurizon</t>
  </si>
  <si>
    <t>Stato offerta</t>
  </si>
  <si>
    <t>Causale</t>
  </si>
  <si>
    <t>Stato finale</t>
  </si>
  <si>
    <t>Offerta</t>
  </si>
  <si>
    <t>Offerta Committente</t>
  </si>
  <si>
    <t>Indirizzo</t>
  </si>
  <si>
    <t>CAP</t>
  </si>
  <si>
    <t>Provincia</t>
  </si>
  <si>
    <t>Contratto inviato a</t>
  </si>
  <si>
    <t>Competenza</t>
  </si>
  <si>
    <t>Creato da</t>
  </si>
  <si>
    <t>Numero di telefono alternativo</t>
  </si>
  <si>
    <t>Indirizzo email alternativo</t>
  </si>
  <si>
    <t>Committente attuale</t>
  </si>
  <si>
    <t>Numero Del Documento</t>
  </si>
  <si>
    <t>Data Di Rilascio</t>
  </si>
  <si>
    <t>Data Di Scadenza</t>
  </si>
  <si>
    <t>Data di nascita</t>
  </si>
  <si>
    <t>Luogo Di Nascita</t>
  </si>
  <si>
    <t>Indirizzo Di Residenza/Sede Legale</t>
  </si>
  <si>
    <t>Intestatario IBAN</t>
  </si>
  <si>
    <t>IBAN</t>
  </si>
  <si>
    <t>Documenti</t>
  </si>
  <si>
    <t>Residente</t>
  </si>
  <si>
    <t>Salta il controllo POD/PDR</t>
  </si>
  <si>
    <t>Contratto inviato da</t>
  </si>
  <si>
    <t>ID</t>
  </si>
  <si>
    <t>ID Lead</t>
  </si>
  <si>
    <t>Provenienza</t>
  </si>
  <si>
    <t>Numero di telefono</t>
  </si>
  <si>
    <t>FARE CONSULENZA</t>
  </si>
  <si>
    <t>TANIA D AMBROSIO</t>
  </si>
  <si>
    <t>SORGENIA</t>
  </si>
  <si>
    <t>SWITCH</t>
  </si>
  <si>
    <t>BUSINESS</t>
  </si>
  <si>
    <t>ditta_individuale</t>
  </si>
  <si>
    <t>2000.00</t>
  </si>
  <si>
    <t>SI</t>
  </si>
  <si>
    <t>CARICATO</t>
  </si>
  <si>
    <t>ATTIVATO</t>
  </si>
  <si>
    <t>OK</t>
  </si>
  <si>
    <t>IMPRESA LUCE SMART</t>
  </si>
  <si>
    <t>SUBENTRO</t>
  </si>
  <si>
    <t>CONSUMER</t>
  </si>
  <si>
    <t>500.00</t>
  </si>
  <si>
    <t>1</t>
  </si>
  <si>
    <t>EMANUELA DI PALMA</t>
  </si>
  <si>
    <t>3.00</t>
  </si>
  <si>
    <t>NEXTENERGY_LUCE_SMART_L2 FIX SOLO SDD</t>
  </si>
  <si>
    <t>NEXT ENERGY HYBRID</t>
  </si>
  <si>
    <t>MASSIMILIANO GIORDANO</t>
  </si>
  <si>
    <t>IMPRESA LUCE SMART L21</t>
  </si>
  <si>
    <t>KO</t>
  </si>
  <si>
    <t>CONTRATTO CONFERMATO IN AUTONOMIA DAL CLIENTE</t>
  </si>
  <si>
    <t>duferco</t>
  </si>
  <si>
    <t>CARMELA IMPROTA</t>
  </si>
  <si>
    <t>NEXT ENERGY PUNTUALE</t>
  </si>
  <si>
    <t>1200.00</t>
  </si>
  <si>
    <t>72015</t>
  </si>
  <si>
    <t>BR</t>
  </si>
  <si>
    <t>41703</t>
  </si>
  <si>
    <t>2025-08-07 17:42:16</t>
  </si>
  <si>
    <t>0298598/Y6</t>
  </si>
  <si>
    <t>snc</t>
  </si>
  <si>
    <t>MARKET 2000 DI ALBA MASCIOPINTO &amp; C. S.N.C.</t>
  </si>
  <si>
    <t>01674480718</t>
  </si>
  <si>
    <t>IT001E04699926</t>
  </si>
  <si>
    <t>10.00</t>
  </si>
  <si>
    <t>13.45</t>
  </si>
  <si>
    <t>ACCETTATO</t>
  </si>
  <si>
    <t>VIA PALMIRO TOGLIATTI 211 TORREMAGGIORE</t>
  </si>
  <si>
    <t>71017</t>
  </si>
  <si>
    <t>FG</t>
  </si>
  <si>
    <t>2025-08-19 12:54:28</t>
  </si>
  <si>
    <t>enel</t>
  </si>
  <si>
    <t>IT07B0306978634100000017995</t>
  </si>
  <si>
    <t>contract_documents_41703_1754581336.zip, contract_documents_50937_2114702283_1754665305.zip, contract_documents_50937_371984732_1754668757.zip</t>
  </si>
  <si>
    <t>50937</t>
  </si>
  <si>
    <t>3279114062</t>
  </si>
  <si>
    <t>44511</t>
  </si>
  <si>
    <t>2025-08-08 19:15:48</t>
  </si>
  <si>
    <t>0185997/AR</t>
  </si>
  <si>
    <t>CAIMI MAURIZIO</t>
  </si>
  <si>
    <t>CMAMRZ84A16C933G</t>
  </si>
  <si>
    <t>IT001E17781283</t>
  </si>
  <si>
    <t>RIFIUTATO MECOMS</t>
  </si>
  <si>
    <t>DISTRIBUTORE: REVOCA AI SENSI DEL COMMA 6.3 DEL TIMOE</t>
  </si>
  <si>
    <t>NEXTENERGY SUNLIGHT DUAL LUCE AD2</t>
  </si>
  <si>
    <t>NEXT ENERGY SUNLIGHT LUCE</t>
  </si>
  <si>
    <t>VIA TORRE 10 A CANTU</t>
  </si>
  <si>
    <t>22063</t>
  </si>
  <si>
    <t>CO</t>
  </si>
  <si>
    <t>2025-09-02 09:58:38</t>
  </si>
  <si>
    <t>IT22A0100510900000000032209</t>
  </si>
  <si>
    <t>contract_documents_44511_1754673348.zip</t>
  </si>
  <si>
    <t>51275</t>
  </si>
  <si>
    <t>3462875115</t>
  </si>
  <si>
    <t>29820001003965</t>
  </si>
  <si>
    <t>NEXTENERGY SUNLIGHT DUAL GAS AD2</t>
  </si>
  <si>
    <t>NEXT ENERGY SUNLIGHT GAS</t>
  </si>
  <si>
    <t>2025-09-02 09:59:05</t>
  </si>
  <si>
    <t>51276</t>
  </si>
  <si>
    <t>44582</t>
  </si>
  <si>
    <t>2025-08-12 10:37:59</t>
  </si>
  <si>
    <t>0185277/AR</t>
  </si>
  <si>
    <t>MARSIGLIA  ALFREDO MARIO</t>
  </si>
  <si>
    <t>MRSLRD80C04F839U</t>
  </si>
  <si>
    <t>IT001E84391807</t>
  </si>
  <si>
    <t>VIA INDIPENDENZA 7 MUGNANO DI NAPOLI</t>
  </si>
  <si>
    <t>80018</t>
  </si>
  <si>
    <t>NA</t>
  </si>
  <si>
    <t>2025-08-19 10:57:58</t>
  </si>
  <si>
    <t>3k</t>
  </si>
  <si>
    <t>IT53U0306903556100000005925</t>
  </si>
  <si>
    <t>contract_documents_44582_1754987879.zip</t>
  </si>
  <si>
    <t>51343</t>
  </si>
  <si>
    <t>3711629755</t>
  </si>
  <si>
    <t>42855</t>
  </si>
  <si>
    <t>2025-08-26 11:19:52</t>
  </si>
  <si>
    <t>0299055/Y6</t>
  </si>
  <si>
    <t>GALETTA ANGELA</t>
  </si>
  <si>
    <t>GLTNGL77P60A893S</t>
  </si>
  <si>
    <t>01137880777</t>
  </si>
  <si>
    <t>IT001E89884218</t>
  </si>
  <si>
    <t>CHIEDE DI CONFERMARE CONTRATTO IN AUTONOMIA</t>
  </si>
  <si>
    <t>VICO XX SETTEMBRE 25 MATERA</t>
  </si>
  <si>
    <t>75100</t>
  </si>
  <si>
    <t>MT</t>
  </si>
  <si>
    <t>2025-08-29 10:34:46</t>
  </si>
  <si>
    <t>ERMES</t>
  </si>
  <si>
    <t>IT63O0103016101000006948606</t>
  </si>
  <si>
    <t>contract_documents_42855_1756199992.zip, contract_documents_52086_1700948720_1756300727.zip</t>
  </si>
  <si>
    <t>52086</t>
  </si>
  <si>
    <t>3497811566</t>
  </si>
  <si>
    <t>45694</t>
  </si>
  <si>
    <t>2025-08-29 11:12:21</t>
  </si>
  <si>
    <t>0185924/AR</t>
  </si>
  <si>
    <t>ANTONIO PIGNATELLI</t>
  </si>
  <si>
    <t>PGNNTN88T23D508Y</t>
  </si>
  <si>
    <t>IT001E74788802</t>
  </si>
  <si>
    <t>12.00</t>
  </si>
  <si>
    <t>NEXTENERGY PUNTUALE LUCE_AS2</t>
  </si>
  <si>
    <t>VIA DE LUCA 60 FASANO</t>
  </si>
  <si>
    <t>2025-09-01 11:34:58</t>
  </si>
  <si>
    <t>HERA</t>
  </si>
  <si>
    <t>IT02W0103025800000001765874</t>
  </si>
  <si>
    <t>contract_documents_45694_1756458741.zip</t>
  </si>
  <si>
    <t>53016</t>
  </si>
  <si>
    <t>3711240404</t>
  </si>
  <si>
    <t>plico+pdp</t>
  </si>
  <si>
    <t>0298598/Y6IT001E04699926</t>
  </si>
  <si>
    <t>0185997/ARIT001E17781283</t>
  </si>
  <si>
    <t>0185997/AR29820001003965</t>
  </si>
  <si>
    <t>0185277/ARIT001E84391807</t>
  </si>
  <si>
    <t>0299055/Y6IT001E89884218</t>
  </si>
  <si>
    <t>0185924/ARIT001E74788802</t>
  </si>
  <si>
    <t>ACCETTATO (Non presente in invito Sorgenia- rendicondizzato alla prossima contabilita')</t>
  </si>
  <si>
    <t>GETTONE</t>
  </si>
  <si>
    <t>RID</t>
  </si>
  <si>
    <t>TOTALE</t>
  </si>
  <si>
    <t>CANVASS</t>
  </si>
  <si>
    <t>PLICO</t>
  </si>
  <si>
    <t>AGG</t>
  </si>
  <si>
    <t>25044</t>
  </si>
  <si>
    <t>2025-07-08 16:48:43</t>
  </si>
  <si>
    <t>0295237/Y6</t>
  </si>
  <si>
    <t>sas</t>
  </si>
  <si>
    <t>T.G.M. S.A.S. DI TREMOLADA MASSIMO &amp; C.</t>
  </si>
  <si>
    <t>00928710961</t>
  </si>
  <si>
    <t>IT001E19176488</t>
  </si>
  <si>
    <t>60.00</t>
  </si>
  <si>
    <t>20.00</t>
  </si>
  <si>
    <t>CONTRATTO CONFERMATO (VEDI DATA NELLE NOTE)</t>
  </si>
  <si>
    <t>INSERITO</t>
  </si>
  <si>
    <t>viale toscana 43 cologno monzese</t>
  </si>
  <si>
    <t>20093</t>
  </si>
  <si>
    <t>mi</t>
  </si>
  <si>
    <t>2025-07-09 11:06:23</t>
  </si>
  <si>
    <t>SGENERGIA</t>
  </si>
  <si>
    <t>IT71Y0503433161000000008600</t>
  </si>
  <si>
    <t>contract_documents_25044_1751986123.zip</t>
  </si>
  <si>
    <t>ELISABETTA FUSCO</t>
  </si>
  <si>
    <t>41844</t>
  </si>
  <si>
    <t>3488004060</t>
  </si>
  <si>
    <t>0295237/Y6IT001E19176488</t>
  </si>
  <si>
    <t>OK DA CONGUAGLIARE</t>
  </si>
  <si>
    <t>CONGUAGLI</t>
  </si>
  <si>
    <t>PLICO+PDP</t>
  </si>
  <si>
    <t>13006</t>
  </si>
  <si>
    <t>2025-04-09 16:43:01</t>
  </si>
  <si>
    <t>0153778/AR</t>
  </si>
  <si>
    <t>INTARTAGLIA GENNARO</t>
  </si>
  <si>
    <t>NTRGNR85L27C975Y</t>
  </si>
  <si>
    <t>10400000610071</t>
  </si>
  <si>
    <t>224.00</t>
  </si>
  <si>
    <t>IN PREPARAZIONE</t>
  </si>
  <si>
    <t>NEXTENERGY_GAS_SMART_L2</t>
  </si>
  <si>
    <t>VIA SEMERIA 39 conversano</t>
  </si>
  <si>
    <t>70014</t>
  </si>
  <si>
    <t>ba</t>
  </si>
  <si>
    <t>2025-04-11 07:20:59</t>
  </si>
  <si>
    <t>Enel Energia</t>
  </si>
  <si>
    <t>IT84R0200841461000104586578</t>
  </si>
  <si>
    <t>contract_documents_13006_1744216980.zip, contract_documents_16205_1822143702_1744290632.zip</t>
  </si>
  <si>
    <t>26</t>
  </si>
  <si>
    <t>16205</t>
  </si>
  <si>
    <t>3925666651</t>
  </si>
  <si>
    <t>0153778/AR10400000610071</t>
  </si>
  <si>
    <t>ko</t>
  </si>
  <si>
    <t>KO STORNO</t>
  </si>
  <si>
    <t>STORNI</t>
  </si>
  <si>
    <t>PRODUZIONE</t>
  </si>
  <si>
    <t>STORNO</t>
  </si>
  <si>
    <t>TOTALE DA FATTURARE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</si>
</sst>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5" formatCode="#,##0.00\ &quot;€&quot;"/>
  </numFmts>
  <fonts count="4" x14ac:knownFonts="1">
    <font>
      <sz val="12"/>
      <color rgb="FF000000"/>
      <name val="Calibri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0" xfId="0" applyFont="1"/>
    <xf numFmtId="0" fontId="1" fillId="2" borderId="0" xfId="0" applyFont="1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14" fontId="0" fillId="0" borderId="1" xfId="0" applyNumberFormat="1" applyBorder="1"/>
    <xf numFmtId="165" fontId="0" fillId="0" borderId="1" xfId="0" applyNumberFormat="1" applyBorder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center"/>
    </xf>
    <xf numFmtId="44" fontId="1" fillId="2" borderId="1" xfId="0" applyNumberFormat="1" applyFont="1" applyFill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44" fontId="0" fillId="0" borderId="0" xfId="0" applyNumberFormat="1" applyAlignment="1">
      <alignment horizontal="center"/>
    </xf>
    <xf numFmtId="44" fontId="0" fillId="0" borderId="1" xfId="0" applyNumberFormat="1" applyBorder="1"/>
    <xf numFmtId="44" fontId="1" fillId="2" borderId="0" xfId="0" applyNumberFormat="1" applyFont="1" applyFill="1"/>
    <xf numFmtId="165" fontId="1" fillId="2" borderId="1" xfId="0" applyNumberFormat="1" applyFont="1" applyFill="1" applyBorder="1" applyAlignment="1">
      <alignment horizontal="center"/>
    </xf>
    <xf numFmtId="0" fontId="1" fillId="3" borderId="0" xfId="0" applyFont="1" applyFill="1"/>
    <xf numFmtId="165" fontId="1" fillId="2" borderId="1" xfId="1" applyNumberFormat="1" applyFont="1" applyFill="1" applyBorder="1" applyAlignment="1">
      <alignment horizontal="center"/>
    </xf>
    <xf numFmtId="0" fontId="3" fillId="2" borderId="0" xfId="0" applyFont="1" applyFill="1"/>
    <xf numFmtId="165" fontId="1" fillId="2" borderId="0" xfId="0" applyNumberFormat="1" applyFont="1" applyFill="1" applyAlignment="1">
      <alignment vertical="center"/>
    </xf>
    <xf numFmtId="44" fontId="1" fillId="2" borderId="0" xfId="0" applyNumberFormat="1" applyFont="1" applyFill="1" applyAlignment="1">
      <alignment vertical="center"/>
    </xf>
  </cellXfs>
  <cellStyles count="2">
    <cellStyle name="Normale" xfId="0" builtinId="0"/>
    <cellStyle name="Normale 2" xfId="1" xr:uid="{94AF16F4-99A0-4BF3-8277-2709D9DE38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33"/>
  <sheetViews>
    <sheetView tabSelected="1" topLeftCell="AT4" workbookViewId="0">
      <selection activeCell="AV36" sqref="AV36"/>
    </sheetView>
  </sheetViews>
  <sheetFormatPr defaultRowHeight="15.75" x14ac:dyDescent="0.25"/>
  <cols>
    <col min="1" max="1" width="11" bestFit="1" customWidth="1"/>
    <col min="2" max="2" width="17.75" bestFit="1" customWidth="1"/>
    <col min="3" max="3" width="18.375" bestFit="1" customWidth="1"/>
    <col min="4" max="4" width="17.625" bestFit="1" customWidth="1"/>
    <col min="5" max="5" width="14" bestFit="1" customWidth="1"/>
    <col min="6" max="6" width="19.875" bestFit="1" customWidth="1"/>
    <col min="7" max="7" width="11" bestFit="1" customWidth="1"/>
    <col min="8" max="8" width="17.25" bestFit="1" customWidth="1"/>
    <col min="9" max="9" width="15.75" bestFit="1" customWidth="1"/>
    <col min="10" max="10" width="25.25" bestFit="1" customWidth="1"/>
    <col min="11" max="11" width="41.75" bestFit="1" customWidth="1"/>
    <col min="12" max="12" width="19.375" bestFit="1" customWidth="1"/>
    <col min="13" max="13" width="11.875" bestFit="1" customWidth="1"/>
    <col min="14" max="14" width="14.5" bestFit="1" customWidth="1"/>
    <col min="15" max="15" width="15" bestFit="1" customWidth="1"/>
    <col min="16" max="16" width="5.75" bestFit="1" customWidth="1"/>
    <col min="17" max="17" width="6.375" bestFit="1" customWidth="1"/>
    <col min="18" max="18" width="17.75" bestFit="1" customWidth="1"/>
    <col min="19" max="19" width="13.875" bestFit="1" customWidth="1"/>
    <col min="20" max="20" width="5.625" bestFit="1" customWidth="1"/>
    <col min="21" max="21" width="15.875" bestFit="1" customWidth="1"/>
    <col min="22" max="22" width="49" bestFit="1" customWidth="1"/>
    <col min="23" max="23" width="18.125" bestFit="1" customWidth="1"/>
    <col min="24" max="24" width="52.5" bestFit="1" customWidth="1"/>
    <col min="25" max="25" width="12.75" bestFit="1" customWidth="1"/>
    <col min="26" max="26" width="39" bestFit="1" customWidth="1"/>
    <col min="27" max="27" width="26.25" bestFit="1" customWidth="1"/>
    <col min="28" max="28" width="40.5" bestFit="1" customWidth="1"/>
    <col min="29" max="29" width="6.25" bestFit="1" customWidth="1"/>
    <col min="30" max="30" width="10.625" bestFit="1" customWidth="1"/>
    <col min="31" max="31" width="19.125" bestFit="1" customWidth="1"/>
    <col min="32" max="32" width="13.375" bestFit="1" customWidth="1"/>
    <col min="33" max="33" width="17.625" bestFit="1" customWidth="1"/>
    <col min="34" max="34" width="29.5" bestFit="1" customWidth="1"/>
    <col min="35" max="35" width="25.125" bestFit="1" customWidth="1"/>
    <col min="36" max="36" width="20.75" bestFit="1" customWidth="1"/>
    <col min="37" max="37" width="23.625" bestFit="1" customWidth="1"/>
    <col min="38" max="38" width="16.125" bestFit="1" customWidth="1"/>
    <col min="39" max="39" width="17.5" bestFit="1" customWidth="1"/>
    <col min="40" max="40" width="15.5" bestFit="1" customWidth="1"/>
    <col min="41" max="41" width="16.875" bestFit="1" customWidth="1"/>
    <col min="42" max="42" width="32.25" bestFit="1" customWidth="1"/>
    <col min="43" max="43" width="41.75" bestFit="1" customWidth="1"/>
    <col min="44" max="44" width="28.625" bestFit="1" customWidth="1"/>
    <col min="45" max="45" width="138.25" bestFit="1" customWidth="1"/>
    <col min="46" max="46" width="11.25" bestFit="1" customWidth="1"/>
    <col min="47" max="47" width="25.625" bestFit="1" customWidth="1"/>
    <col min="48" max="48" width="23.375" bestFit="1" customWidth="1"/>
    <col min="49" max="49" width="5.875" bestFit="1" customWidth="1"/>
    <col min="50" max="50" width="9.125" bestFit="1" customWidth="1"/>
    <col min="51" max="51" width="10" bestFit="1" customWidth="1"/>
    <col min="52" max="52" width="13.25" bestFit="1" customWidth="1"/>
    <col min="53" max="53" width="19.625" bestFit="1" customWidth="1"/>
    <col min="54" max="54" width="25.375" bestFit="1" customWidth="1"/>
    <col min="55" max="55" width="12.875" style="13" bestFit="1" customWidth="1"/>
    <col min="56" max="56" width="9" style="13"/>
    <col min="57" max="57" width="10.5" style="13" bestFit="1" customWidth="1"/>
    <col min="58" max="58" width="11.375" bestFit="1" customWidth="1"/>
    <col min="60" max="60" width="20.125" bestFit="1" customWidth="1"/>
  </cols>
  <sheetData>
    <row r="1" spans="1:59" s="1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27</v>
      </c>
      <c r="AZ1" s="5" t="s">
        <v>50</v>
      </c>
      <c r="BA1" s="5" t="s">
        <v>51</v>
      </c>
      <c r="BB1" s="5" t="s">
        <v>171</v>
      </c>
      <c r="BC1" s="11" t="s">
        <v>179</v>
      </c>
      <c r="BD1" s="11" t="s">
        <v>180</v>
      </c>
      <c r="BE1" s="11" t="s">
        <v>182</v>
      </c>
      <c r="BF1" s="6" t="s">
        <v>181</v>
      </c>
    </row>
    <row r="2" spans="1:59" x14ac:dyDescent="0.25">
      <c r="A2" s="2" t="s">
        <v>101</v>
      </c>
      <c r="B2" s="2" t="s">
        <v>102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103</v>
      </c>
      <c r="H2" s="2" t="s">
        <v>65</v>
      </c>
      <c r="I2" s="2"/>
      <c r="J2" s="2" t="s">
        <v>104</v>
      </c>
      <c r="K2" s="2"/>
      <c r="L2" s="2" t="s">
        <v>105</v>
      </c>
      <c r="M2" s="2"/>
      <c r="N2" s="2" t="s">
        <v>106</v>
      </c>
      <c r="O2" s="2"/>
      <c r="P2" s="2" t="s">
        <v>69</v>
      </c>
      <c r="Q2" s="2"/>
      <c r="R2" s="2" t="s">
        <v>58</v>
      </c>
      <c r="S2" s="2" t="s">
        <v>59</v>
      </c>
      <c r="T2" s="2" t="s">
        <v>59</v>
      </c>
      <c r="U2" s="2" t="s">
        <v>60</v>
      </c>
      <c r="V2" s="2" t="s">
        <v>75</v>
      </c>
      <c r="W2" s="2" t="s">
        <v>107</v>
      </c>
      <c r="X2" s="2" t="s">
        <v>108</v>
      </c>
      <c r="Y2" s="2" t="s">
        <v>74</v>
      </c>
      <c r="Z2" s="2" t="s">
        <v>109</v>
      </c>
      <c r="AA2" s="2" t="s">
        <v>110</v>
      </c>
      <c r="AB2" s="2" t="s">
        <v>111</v>
      </c>
      <c r="AC2" s="2" t="s">
        <v>112</v>
      </c>
      <c r="AD2" s="2" t="s">
        <v>113</v>
      </c>
      <c r="AE2" s="2" t="s">
        <v>114</v>
      </c>
      <c r="AF2" s="7">
        <v>45877</v>
      </c>
      <c r="AG2" s="2" t="s">
        <v>53</v>
      </c>
      <c r="AH2" s="2"/>
      <c r="AI2" s="2"/>
      <c r="AJ2" s="2" t="s">
        <v>76</v>
      </c>
      <c r="AK2" s="2"/>
      <c r="AL2" s="2"/>
      <c r="AM2" s="2"/>
      <c r="AN2" s="2"/>
      <c r="AO2" s="2"/>
      <c r="AP2" s="2"/>
      <c r="AQ2" s="2" t="s">
        <v>104</v>
      </c>
      <c r="AR2" s="2" t="s">
        <v>115</v>
      </c>
      <c r="AS2" s="2" t="s">
        <v>116</v>
      </c>
      <c r="AT2" s="2" t="s">
        <v>67</v>
      </c>
      <c r="AU2" s="2"/>
      <c r="AV2" s="2" t="s">
        <v>77</v>
      </c>
      <c r="AW2" s="2" t="s">
        <v>117</v>
      </c>
      <c r="AX2" s="2"/>
      <c r="AY2" s="2"/>
      <c r="AZ2" s="2"/>
      <c r="BA2" s="2" t="s">
        <v>118</v>
      </c>
      <c r="BB2" s="2" t="s">
        <v>173</v>
      </c>
      <c r="BC2" s="12">
        <v>0</v>
      </c>
      <c r="BD2" s="12">
        <v>0</v>
      </c>
      <c r="BE2" s="12">
        <v>0</v>
      </c>
      <c r="BF2" s="14">
        <f>SUM(BC2:BE2)</f>
        <v>0</v>
      </c>
    </row>
    <row r="3" spans="1:59" x14ac:dyDescent="0.25">
      <c r="A3" s="2" t="s">
        <v>101</v>
      </c>
      <c r="B3" s="2" t="s">
        <v>102</v>
      </c>
      <c r="C3" s="2" t="s">
        <v>52</v>
      </c>
      <c r="D3" s="2" t="s">
        <v>53</v>
      </c>
      <c r="E3" s="2" t="s">
        <v>54</v>
      </c>
      <c r="F3" s="2" t="s">
        <v>55</v>
      </c>
      <c r="G3" s="2" t="s">
        <v>103</v>
      </c>
      <c r="H3" s="2" t="s">
        <v>65</v>
      </c>
      <c r="I3" s="2"/>
      <c r="J3" s="2" t="s">
        <v>104</v>
      </c>
      <c r="K3" s="2"/>
      <c r="L3" s="2" t="s">
        <v>105</v>
      </c>
      <c r="M3" s="2"/>
      <c r="N3" s="2"/>
      <c r="O3" s="2" t="s">
        <v>119</v>
      </c>
      <c r="P3" s="2"/>
      <c r="Q3" s="2" t="s">
        <v>66</v>
      </c>
      <c r="R3" s="2" t="s">
        <v>66</v>
      </c>
      <c r="S3" s="2" t="s">
        <v>59</v>
      </c>
      <c r="T3" s="2" t="s">
        <v>59</v>
      </c>
      <c r="U3" s="2" t="s">
        <v>60</v>
      </c>
      <c r="V3" s="2" t="s">
        <v>75</v>
      </c>
      <c r="W3" s="2" t="s">
        <v>178</v>
      </c>
      <c r="X3" s="2"/>
      <c r="Y3" s="9" t="s">
        <v>74</v>
      </c>
      <c r="Z3" s="2" t="s">
        <v>120</v>
      </c>
      <c r="AA3" s="2" t="s">
        <v>121</v>
      </c>
      <c r="AB3" s="2" t="s">
        <v>111</v>
      </c>
      <c r="AC3" s="2" t="s">
        <v>112</v>
      </c>
      <c r="AD3" s="2" t="s">
        <v>113</v>
      </c>
      <c r="AE3" s="2" t="s">
        <v>122</v>
      </c>
      <c r="AF3" s="7">
        <v>45877</v>
      </c>
      <c r="AG3" s="2" t="s">
        <v>53</v>
      </c>
      <c r="AH3" s="2"/>
      <c r="AI3" s="2"/>
      <c r="AJ3" s="2" t="s">
        <v>76</v>
      </c>
      <c r="AK3" s="2"/>
      <c r="AL3" s="2"/>
      <c r="AM3" s="2"/>
      <c r="AN3" s="2"/>
      <c r="AO3" s="2"/>
      <c r="AP3" s="2"/>
      <c r="AQ3" s="2" t="s">
        <v>104</v>
      </c>
      <c r="AR3" s="2" t="s">
        <v>115</v>
      </c>
      <c r="AS3" s="2" t="s">
        <v>116</v>
      </c>
      <c r="AT3" s="2" t="s">
        <v>67</v>
      </c>
      <c r="AU3" s="2"/>
      <c r="AV3" s="2" t="s">
        <v>77</v>
      </c>
      <c r="AW3" s="2" t="s">
        <v>123</v>
      </c>
      <c r="AX3" s="2"/>
      <c r="AY3" s="2"/>
      <c r="AZ3" s="2"/>
      <c r="BA3" s="2" t="s">
        <v>118</v>
      </c>
      <c r="BB3" s="2" t="s">
        <v>174</v>
      </c>
      <c r="BC3" s="12">
        <v>0</v>
      </c>
      <c r="BD3" s="12">
        <v>0</v>
      </c>
      <c r="BE3" s="12">
        <v>0</v>
      </c>
      <c r="BF3" s="14">
        <f t="shared" ref="BF3:BF7" si="0">SUM(BC3:BE3)</f>
        <v>0</v>
      </c>
    </row>
    <row r="4" spans="1:59" x14ac:dyDescent="0.25">
      <c r="A4" s="2" t="s">
        <v>139</v>
      </c>
      <c r="B4" s="2" t="s">
        <v>140</v>
      </c>
      <c r="C4" s="2" t="s">
        <v>52</v>
      </c>
      <c r="D4" s="2" t="s">
        <v>53</v>
      </c>
      <c r="E4" s="2" t="s">
        <v>54</v>
      </c>
      <c r="F4" s="2" t="s">
        <v>55</v>
      </c>
      <c r="G4" s="2" t="s">
        <v>141</v>
      </c>
      <c r="H4" s="2" t="s">
        <v>56</v>
      </c>
      <c r="I4" s="2" t="s">
        <v>57</v>
      </c>
      <c r="J4" s="2"/>
      <c r="K4" s="2" t="s">
        <v>142</v>
      </c>
      <c r="L4" s="2" t="s">
        <v>143</v>
      </c>
      <c r="M4" s="2" t="s">
        <v>144</v>
      </c>
      <c r="N4" s="2" t="s">
        <v>145</v>
      </c>
      <c r="O4" s="2"/>
      <c r="P4" s="2" t="s">
        <v>69</v>
      </c>
      <c r="Q4" s="2"/>
      <c r="R4" s="2" t="s">
        <v>79</v>
      </c>
      <c r="S4" s="2" t="s">
        <v>59</v>
      </c>
      <c r="T4" s="2" t="s">
        <v>59</v>
      </c>
      <c r="U4" s="2" t="s">
        <v>60</v>
      </c>
      <c r="V4" s="2" t="s">
        <v>146</v>
      </c>
      <c r="W4" s="2" t="s">
        <v>178</v>
      </c>
      <c r="X4" s="2"/>
      <c r="Y4" s="9" t="s">
        <v>74</v>
      </c>
      <c r="Z4" s="2" t="s">
        <v>73</v>
      </c>
      <c r="AA4" s="2" t="s">
        <v>63</v>
      </c>
      <c r="AB4" s="2" t="s">
        <v>147</v>
      </c>
      <c r="AC4" s="2" t="s">
        <v>148</v>
      </c>
      <c r="AD4" s="2" t="s">
        <v>149</v>
      </c>
      <c r="AE4" s="2" t="s">
        <v>150</v>
      </c>
      <c r="AF4" s="7">
        <v>45895</v>
      </c>
      <c r="AG4" s="2" t="s">
        <v>53</v>
      </c>
      <c r="AH4" s="2"/>
      <c r="AI4" s="2"/>
      <c r="AJ4" s="2" t="s">
        <v>151</v>
      </c>
      <c r="AK4" s="2"/>
      <c r="AL4" s="2"/>
      <c r="AM4" s="2"/>
      <c r="AN4" s="2"/>
      <c r="AO4" s="2"/>
      <c r="AP4" s="2"/>
      <c r="AQ4" s="2" t="s">
        <v>142</v>
      </c>
      <c r="AR4" s="2" t="s">
        <v>152</v>
      </c>
      <c r="AS4" s="2" t="s">
        <v>153</v>
      </c>
      <c r="AT4" s="2"/>
      <c r="AU4" s="2"/>
      <c r="AV4" s="2" t="s">
        <v>68</v>
      </c>
      <c r="AW4" s="2" t="s">
        <v>154</v>
      </c>
      <c r="AX4" s="2"/>
      <c r="AY4" s="2"/>
      <c r="AZ4" s="2"/>
      <c r="BA4" s="2" t="s">
        <v>155</v>
      </c>
      <c r="BB4" s="2" t="s">
        <v>176</v>
      </c>
      <c r="BC4" s="12">
        <v>0</v>
      </c>
      <c r="BD4" s="12">
        <v>0</v>
      </c>
      <c r="BE4" s="12">
        <v>0</v>
      </c>
      <c r="BF4" s="14">
        <f t="shared" si="0"/>
        <v>0</v>
      </c>
    </row>
    <row r="5" spans="1:59" x14ac:dyDescent="0.25">
      <c r="A5" s="2" t="s">
        <v>156</v>
      </c>
      <c r="B5" s="2" t="s">
        <v>157</v>
      </c>
      <c r="C5" s="2" t="s">
        <v>52</v>
      </c>
      <c r="D5" s="2" t="s">
        <v>53</v>
      </c>
      <c r="E5" s="2" t="s">
        <v>54</v>
      </c>
      <c r="F5" s="2" t="s">
        <v>55</v>
      </c>
      <c r="G5" s="2" t="s">
        <v>158</v>
      </c>
      <c r="H5" s="2" t="s">
        <v>65</v>
      </c>
      <c r="I5" s="2"/>
      <c r="J5" s="2" t="s">
        <v>159</v>
      </c>
      <c r="K5" s="2"/>
      <c r="L5" s="2" t="s">
        <v>160</v>
      </c>
      <c r="M5" s="2"/>
      <c r="N5" s="2" t="s">
        <v>161</v>
      </c>
      <c r="O5" s="2"/>
      <c r="P5" s="2" t="s">
        <v>69</v>
      </c>
      <c r="Q5" s="2"/>
      <c r="R5" s="2" t="s">
        <v>162</v>
      </c>
      <c r="S5" s="2" t="s">
        <v>59</v>
      </c>
      <c r="T5" s="2" t="s">
        <v>59</v>
      </c>
      <c r="U5" s="2" t="s">
        <v>60</v>
      </c>
      <c r="V5" s="2" t="s">
        <v>75</v>
      </c>
      <c r="W5" s="2" t="s">
        <v>178</v>
      </c>
      <c r="X5" s="2"/>
      <c r="Y5" s="9" t="s">
        <v>74</v>
      </c>
      <c r="Z5" s="2" t="s">
        <v>163</v>
      </c>
      <c r="AA5" s="2" t="s">
        <v>78</v>
      </c>
      <c r="AB5" s="2" t="s">
        <v>164</v>
      </c>
      <c r="AC5" s="2" t="s">
        <v>80</v>
      </c>
      <c r="AD5" s="2" t="s">
        <v>81</v>
      </c>
      <c r="AE5" s="2" t="s">
        <v>165</v>
      </c>
      <c r="AF5" s="7">
        <v>45898</v>
      </c>
      <c r="AG5" s="2" t="s">
        <v>53</v>
      </c>
      <c r="AH5" s="2"/>
      <c r="AI5" s="2"/>
      <c r="AJ5" s="2" t="s">
        <v>166</v>
      </c>
      <c r="AK5" s="2"/>
      <c r="AL5" s="2"/>
      <c r="AM5" s="2"/>
      <c r="AN5" s="2"/>
      <c r="AO5" s="2"/>
      <c r="AP5" s="2"/>
      <c r="AQ5" s="2" t="s">
        <v>159</v>
      </c>
      <c r="AR5" s="2" t="s">
        <v>167</v>
      </c>
      <c r="AS5" s="2" t="s">
        <v>168</v>
      </c>
      <c r="AT5" s="2"/>
      <c r="AU5" s="2"/>
      <c r="AV5" s="2" t="s">
        <v>77</v>
      </c>
      <c r="AW5" s="2" t="s">
        <v>169</v>
      </c>
      <c r="AX5" s="2"/>
      <c r="AY5" s="2"/>
      <c r="AZ5" s="2"/>
      <c r="BA5" s="2" t="s">
        <v>170</v>
      </c>
      <c r="BB5" s="2" t="s">
        <v>177</v>
      </c>
      <c r="BC5" s="12">
        <v>0</v>
      </c>
      <c r="BD5" s="12">
        <v>0</v>
      </c>
      <c r="BE5" s="12">
        <v>0</v>
      </c>
      <c r="BF5" s="14">
        <f t="shared" si="0"/>
        <v>0</v>
      </c>
    </row>
    <row r="6" spans="1:59" x14ac:dyDescent="0.25">
      <c r="A6" s="2" t="s">
        <v>82</v>
      </c>
      <c r="B6" s="2" t="s">
        <v>83</v>
      </c>
      <c r="C6" s="2" t="s">
        <v>52</v>
      </c>
      <c r="D6" s="2" t="s">
        <v>53</v>
      </c>
      <c r="E6" s="2" t="s">
        <v>54</v>
      </c>
      <c r="F6" s="2" t="s">
        <v>55</v>
      </c>
      <c r="G6" s="2" t="s">
        <v>84</v>
      </c>
      <c r="H6" s="2" t="s">
        <v>56</v>
      </c>
      <c r="I6" s="2" t="s">
        <v>85</v>
      </c>
      <c r="J6" s="2"/>
      <c r="K6" s="2" t="s">
        <v>86</v>
      </c>
      <c r="L6" s="2"/>
      <c r="M6" s="2" t="s">
        <v>87</v>
      </c>
      <c r="N6" s="2" t="s">
        <v>88</v>
      </c>
      <c r="O6" s="2"/>
      <c r="P6" s="2" t="s">
        <v>89</v>
      </c>
      <c r="Q6" s="2"/>
      <c r="R6" s="2" t="s">
        <v>90</v>
      </c>
      <c r="S6" s="2" t="s">
        <v>59</v>
      </c>
      <c r="T6" s="2" t="s">
        <v>59</v>
      </c>
      <c r="U6" s="2" t="s">
        <v>60</v>
      </c>
      <c r="V6" s="2" t="s">
        <v>75</v>
      </c>
      <c r="W6" s="2" t="s">
        <v>91</v>
      </c>
      <c r="X6" s="2"/>
      <c r="Y6" s="2" t="s">
        <v>62</v>
      </c>
      <c r="Z6" s="2" t="s">
        <v>73</v>
      </c>
      <c r="AA6" s="2" t="s">
        <v>63</v>
      </c>
      <c r="AB6" s="2" t="s">
        <v>92</v>
      </c>
      <c r="AC6" s="2" t="s">
        <v>93</v>
      </c>
      <c r="AD6" s="2" t="s">
        <v>94</v>
      </c>
      <c r="AE6" s="2" t="s">
        <v>95</v>
      </c>
      <c r="AF6" s="7">
        <v>45876</v>
      </c>
      <c r="AG6" s="2" t="s">
        <v>53</v>
      </c>
      <c r="AH6" s="2"/>
      <c r="AI6" s="2"/>
      <c r="AJ6" s="2" t="s">
        <v>96</v>
      </c>
      <c r="AK6" s="2"/>
      <c r="AL6" s="2"/>
      <c r="AM6" s="2"/>
      <c r="AN6" s="2"/>
      <c r="AO6" s="2"/>
      <c r="AP6" s="2"/>
      <c r="AQ6" s="2" t="s">
        <v>86</v>
      </c>
      <c r="AR6" s="2" t="s">
        <v>97</v>
      </c>
      <c r="AS6" s="2" t="s">
        <v>98</v>
      </c>
      <c r="AT6" s="2"/>
      <c r="AU6" s="2"/>
      <c r="AV6" s="2" t="s">
        <v>72</v>
      </c>
      <c r="AW6" s="2" t="s">
        <v>99</v>
      </c>
      <c r="AX6" s="2"/>
      <c r="AY6" s="2"/>
      <c r="AZ6" s="2"/>
      <c r="BA6" s="2" t="s">
        <v>100</v>
      </c>
      <c r="BB6" s="2" t="s">
        <v>172</v>
      </c>
      <c r="BC6" s="12">
        <v>144</v>
      </c>
      <c r="BD6" s="12">
        <v>18</v>
      </c>
      <c r="BE6" s="12">
        <v>32</v>
      </c>
      <c r="BF6" s="14">
        <f t="shared" si="0"/>
        <v>194</v>
      </c>
    </row>
    <row r="7" spans="1:59" x14ac:dyDescent="0.25">
      <c r="A7" s="2" t="s">
        <v>124</v>
      </c>
      <c r="B7" s="2" t="s">
        <v>125</v>
      </c>
      <c r="C7" s="2" t="s">
        <v>52</v>
      </c>
      <c r="D7" s="2" t="s">
        <v>53</v>
      </c>
      <c r="E7" s="2" t="s">
        <v>54</v>
      </c>
      <c r="F7" s="2" t="s">
        <v>64</v>
      </c>
      <c r="G7" s="2" t="s">
        <v>126</v>
      </c>
      <c r="H7" s="2" t="s">
        <v>65</v>
      </c>
      <c r="I7" s="2"/>
      <c r="J7" s="2" t="s">
        <v>127</v>
      </c>
      <c r="K7" s="2"/>
      <c r="L7" s="2" t="s">
        <v>128</v>
      </c>
      <c r="M7" s="2"/>
      <c r="N7" s="2" t="s">
        <v>129</v>
      </c>
      <c r="O7" s="2"/>
      <c r="P7" s="2" t="s">
        <v>69</v>
      </c>
      <c r="Q7" s="2"/>
      <c r="R7" s="2" t="s">
        <v>58</v>
      </c>
      <c r="S7" s="2" t="s">
        <v>59</v>
      </c>
      <c r="T7" s="2" t="s">
        <v>59</v>
      </c>
      <c r="U7" s="2" t="s">
        <v>60</v>
      </c>
      <c r="V7" s="2" t="s">
        <v>75</v>
      </c>
      <c r="W7" s="2" t="s">
        <v>61</v>
      </c>
      <c r="X7" s="2"/>
      <c r="Y7" s="2" t="s">
        <v>62</v>
      </c>
      <c r="Z7" s="2" t="s">
        <v>70</v>
      </c>
      <c r="AA7" s="2" t="s">
        <v>71</v>
      </c>
      <c r="AB7" s="2" t="s">
        <v>130</v>
      </c>
      <c r="AC7" s="2" t="s">
        <v>131</v>
      </c>
      <c r="AD7" s="2" t="s">
        <v>132</v>
      </c>
      <c r="AE7" s="2" t="s">
        <v>133</v>
      </c>
      <c r="AF7" s="7">
        <v>45881</v>
      </c>
      <c r="AG7" s="2" t="s">
        <v>53</v>
      </c>
      <c r="AH7" s="2"/>
      <c r="AI7" s="2"/>
      <c r="AJ7" s="2" t="s">
        <v>134</v>
      </c>
      <c r="AK7" s="2"/>
      <c r="AL7" s="2"/>
      <c r="AM7" s="2"/>
      <c r="AN7" s="2"/>
      <c r="AO7" s="2"/>
      <c r="AP7" s="2"/>
      <c r="AQ7" s="2" t="s">
        <v>127</v>
      </c>
      <c r="AR7" s="2" t="s">
        <v>135</v>
      </c>
      <c r="AS7" s="2" t="s">
        <v>136</v>
      </c>
      <c r="AT7" s="2"/>
      <c r="AU7" s="2"/>
      <c r="AV7" s="2" t="s">
        <v>72</v>
      </c>
      <c r="AW7" s="2" t="s">
        <v>137</v>
      </c>
      <c r="AX7" s="2"/>
      <c r="AY7" s="2"/>
      <c r="AZ7" s="2"/>
      <c r="BA7" s="2" t="s">
        <v>138</v>
      </c>
      <c r="BB7" s="2" t="s">
        <v>175</v>
      </c>
      <c r="BC7" s="12">
        <v>90</v>
      </c>
      <c r="BD7" s="12">
        <v>10</v>
      </c>
      <c r="BE7" s="12">
        <v>0</v>
      </c>
      <c r="BF7" s="14">
        <f t="shared" si="0"/>
        <v>100</v>
      </c>
    </row>
    <row r="8" spans="1:59" x14ac:dyDescent="0.25">
      <c r="BF8" s="15">
        <f>SUM(BF2:BF7)</f>
        <v>294</v>
      </c>
    </row>
    <row r="13" spans="1:59" x14ac:dyDescent="0.25">
      <c r="A13" s="4" t="s">
        <v>208</v>
      </c>
    </row>
    <row r="14" spans="1:59" x14ac:dyDescent="0.25">
      <c r="A14" s="5" t="s">
        <v>0</v>
      </c>
      <c r="B14" s="5" t="s">
        <v>1</v>
      </c>
      <c r="C14" s="5" t="s">
        <v>2</v>
      </c>
      <c r="D14" s="5" t="s">
        <v>3</v>
      </c>
      <c r="E14" s="5" t="s">
        <v>4</v>
      </c>
      <c r="F14" s="5" t="s">
        <v>5</v>
      </c>
      <c r="G14" s="5" t="s">
        <v>6</v>
      </c>
      <c r="H14" s="5" t="s">
        <v>7</v>
      </c>
      <c r="I14" s="5" t="s">
        <v>8</v>
      </c>
      <c r="J14" s="5" t="s">
        <v>9</v>
      </c>
      <c r="K14" s="5" t="s">
        <v>10</v>
      </c>
      <c r="L14" s="5" t="s">
        <v>11</v>
      </c>
      <c r="M14" s="5" t="s">
        <v>12</v>
      </c>
      <c r="N14" s="5" t="s">
        <v>13</v>
      </c>
      <c r="O14" s="5" t="s">
        <v>14</v>
      </c>
      <c r="P14" s="5" t="s">
        <v>15</v>
      </c>
      <c r="Q14" s="5" t="s">
        <v>16</v>
      </c>
      <c r="R14" s="5" t="s">
        <v>17</v>
      </c>
      <c r="S14" s="5" t="s">
        <v>18</v>
      </c>
      <c r="T14" s="5" t="s">
        <v>19</v>
      </c>
      <c r="U14" s="5" t="s">
        <v>20</v>
      </c>
      <c r="V14" s="5" t="s">
        <v>21</v>
      </c>
      <c r="W14" s="5" t="s">
        <v>22</v>
      </c>
      <c r="X14" s="5" t="s">
        <v>23</v>
      </c>
      <c r="Y14" s="6" t="s">
        <v>24</v>
      </c>
      <c r="Z14" s="5" t="s">
        <v>25</v>
      </c>
      <c r="AA14" s="5" t="s">
        <v>26</v>
      </c>
      <c r="AB14" s="5" t="s">
        <v>27</v>
      </c>
      <c r="AC14" s="5" t="s">
        <v>28</v>
      </c>
      <c r="AD14" s="5" t="s">
        <v>29</v>
      </c>
      <c r="AE14" s="5" t="s">
        <v>30</v>
      </c>
      <c r="AF14" s="5" t="s">
        <v>31</v>
      </c>
      <c r="AG14" s="5" t="s">
        <v>32</v>
      </c>
      <c r="AH14" s="5" t="s">
        <v>33</v>
      </c>
      <c r="AI14" s="5" t="s">
        <v>34</v>
      </c>
      <c r="AJ14" s="5" t="s">
        <v>35</v>
      </c>
      <c r="AK14" s="5" t="s">
        <v>36</v>
      </c>
      <c r="AL14" s="5" t="s">
        <v>37</v>
      </c>
      <c r="AM14" s="5" t="s">
        <v>38</v>
      </c>
      <c r="AN14" s="5" t="s">
        <v>39</v>
      </c>
      <c r="AO14" s="5" t="s">
        <v>40</v>
      </c>
      <c r="AP14" s="5" t="s">
        <v>41</v>
      </c>
      <c r="AQ14" s="5" t="s">
        <v>42</v>
      </c>
      <c r="AR14" s="5" t="s">
        <v>43</v>
      </c>
      <c r="AS14" s="5" t="s">
        <v>44</v>
      </c>
      <c r="AT14" s="5" t="s">
        <v>45</v>
      </c>
      <c r="AU14" s="5" t="s">
        <v>46</v>
      </c>
      <c r="AV14" s="5" t="s">
        <v>47</v>
      </c>
      <c r="AW14" s="5" t="s">
        <v>48</v>
      </c>
      <c r="AX14" s="5" t="s">
        <v>49</v>
      </c>
      <c r="AY14" s="5" t="s">
        <v>27</v>
      </c>
      <c r="AZ14" s="5" t="s">
        <v>50</v>
      </c>
      <c r="BA14" s="5" t="s">
        <v>51</v>
      </c>
      <c r="BB14" s="5" t="s">
        <v>183</v>
      </c>
      <c r="BC14" s="16" t="s">
        <v>179</v>
      </c>
      <c r="BD14" s="16" t="s">
        <v>180</v>
      </c>
      <c r="BE14" s="16" t="s">
        <v>182</v>
      </c>
      <c r="BF14" s="16" t="s">
        <v>181</v>
      </c>
      <c r="BG14" s="17" t="s">
        <v>184</v>
      </c>
    </row>
    <row r="15" spans="1:59" x14ac:dyDescent="0.25">
      <c r="A15" s="2" t="s">
        <v>185</v>
      </c>
      <c r="B15" s="2" t="s">
        <v>186</v>
      </c>
      <c r="C15" s="2" t="s">
        <v>52</v>
      </c>
      <c r="D15" s="2" t="s">
        <v>53</v>
      </c>
      <c r="E15" s="2" t="s">
        <v>54</v>
      </c>
      <c r="F15" s="2" t="s">
        <v>55</v>
      </c>
      <c r="G15" s="2" t="s">
        <v>187</v>
      </c>
      <c r="H15" s="2" t="s">
        <v>56</v>
      </c>
      <c r="I15" s="2" t="s">
        <v>188</v>
      </c>
      <c r="J15" s="2"/>
      <c r="K15" s="2" t="s">
        <v>189</v>
      </c>
      <c r="L15" s="2"/>
      <c r="M15" s="2" t="s">
        <v>190</v>
      </c>
      <c r="N15" s="2" t="s">
        <v>191</v>
      </c>
      <c r="O15" s="2"/>
      <c r="P15" s="2" t="s">
        <v>192</v>
      </c>
      <c r="Q15" s="2"/>
      <c r="R15" s="2" t="s">
        <v>193</v>
      </c>
      <c r="S15" s="2" t="s">
        <v>59</v>
      </c>
      <c r="T15" s="2" t="s">
        <v>59</v>
      </c>
      <c r="U15" s="2" t="s">
        <v>60</v>
      </c>
      <c r="V15" s="2" t="s">
        <v>194</v>
      </c>
      <c r="W15" s="2" t="s">
        <v>195</v>
      </c>
      <c r="X15" s="2"/>
      <c r="Y15" s="10" t="s">
        <v>74</v>
      </c>
      <c r="Z15" s="2" t="s">
        <v>73</v>
      </c>
      <c r="AA15" s="2" t="s">
        <v>63</v>
      </c>
      <c r="AB15" s="2" t="s">
        <v>196</v>
      </c>
      <c r="AC15" s="2" t="s">
        <v>197</v>
      </c>
      <c r="AD15" s="2" t="s">
        <v>198</v>
      </c>
      <c r="AE15" s="2" t="s">
        <v>199</v>
      </c>
      <c r="AF15" s="7">
        <v>45846</v>
      </c>
      <c r="AG15" s="2" t="s">
        <v>53</v>
      </c>
      <c r="AH15" s="2"/>
      <c r="AI15" s="2"/>
      <c r="AJ15" s="2" t="s">
        <v>200</v>
      </c>
      <c r="AK15" s="2"/>
      <c r="AL15" s="2"/>
      <c r="AM15" s="2"/>
      <c r="AN15" s="2"/>
      <c r="AO15" s="2"/>
      <c r="AP15" s="2"/>
      <c r="AQ15" s="2" t="s">
        <v>189</v>
      </c>
      <c r="AR15" s="2" t="s">
        <v>201</v>
      </c>
      <c r="AS15" s="2" t="s">
        <v>202</v>
      </c>
      <c r="AT15" s="2"/>
      <c r="AU15" s="2"/>
      <c r="AV15" s="2" t="s">
        <v>203</v>
      </c>
      <c r="AW15" s="2" t="s">
        <v>204</v>
      </c>
      <c r="AX15" s="2"/>
      <c r="AY15" s="2"/>
      <c r="AZ15" s="2"/>
      <c r="BA15" s="2" t="s">
        <v>205</v>
      </c>
      <c r="BB15" s="2" t="s">
        <v>206</v>
      </c>
      <c r="BC15" s="8">
        <v>144</v>
      </c>
      <c r="BD15" s="8">
        <v>18</v>
      </c>
      <c r="BE15" s="8">
        <v>32</v>
      </c>
      <c r="BF15" s="8">
        <f>SUM(BC15:BE15)</f>
        <v>194</v>
      </c>
      <c r="BG15" s="3" t="s">
        <v>207</v>
      </c>
    </row>
    <row r="20" spans="1:61" x14ac:dyDescent="0.25">
      <c r="A20" s="19" t="s">
        <v>232</v>
      </c>
    </row>
    <row r="21" spans="1:61" x14ac:dyDescent="0.25">
      <c r="A21" s="5" t="s">
        <v>0</v>
      </c>
      <c r="B21" s="5" t="s">
        <v>1</v>
      </c>
      <c r="C21" s="5" t="s">
        <v>2</v>
      </c>
      <c r="D21" s="5" t="s">
        <v>3</v>
      </c>
      <c r="E21" s="5" t="s">
        <v>4</v>
      </c>
      <c r="F21" s="5" t="s">
        <v>5</v>
      </c>
      <c r="G21" s="5" t="s">
        <v>6</v>
      </c>
      <c r="H21" s="5" t="s">
        <v>7</v>
      </c>
      <c r="I21" s="5" t="s">
        <v>8</v>
      </c>
      <c r="J21" s="5" t="s">
        <v>9</v>
      </c>
      <c r="K21" s="5" t="s">
        <v>10</v>
      </c>
      <c r="L21" s="5" t="s">
        <v>11</v>
      </c>
      <c r="M21" s="5" t="s">
        <v>12</v>
      </c>
      <c r="N21" s="5" t="s">
        <v>13</v>
      </c>
      <c r="O21" s="5" t="s">
        <v>14</v>
      </c>
      <c r="P21" s="5" t="s">
        <v>15</v>
      </c>
      <c r="Q21" s="5" t="s">
        <v>16</v>
      </c>
      <c r="R21" s="5" t="s">
        <v>17</v>
      </c>
      <c r="S21" s="5" t="s">
        <v>18</v>
      </c>
      <c r="T21" s="5" t="s">
        <v>19</v>
      </c>
      <c r="U21" s="5" t="s">
        <v>20</v>
      </c>
      <c r="V21" s="5" t="s">
        <v>21</v>
      </c>
      <c r="W21" s="5" t="s">
        <v>22</v>
      </c>
      <c r="X21" s="5" t="s">
        <v>23</v>
      </c>
      <c r="Y21" s="6" t="s">
        <v>24</v>
      </c>
      <c r="Z21" s="5" t="s">
        <v>25</v>
      </c>
      <c r="AA21" s="5" t="s">
        <v>27</v>
      </c>
      <c r="AB21" s="5" t="s">
        <v>28</v>
      </c>
      <c r="AC21" s="5" t="s">
        <v>29</v>
      </c>
      <c r="AD21" s="5" t="s">
        <v>30</v>
      </c>
      <c r="AE21" s="5" t="s">
        <v>31</v>
      </c>
      <c r="AF21" s="5" t="s">
        <v>32</v>
      </c>
      <c r="AG21" s="5" t="s">
        <v>33</v>
      </c>
      <c r="AH21" s="5" t="s">
        <v>34</v>
      </c>
      <c r="AI21" s="5" t="s">
        <v>35</v>
      </c>
      <c r="AJ21" s="5" t="s">
        <v>36</v>
      </c>
      <c r="AK21" s="5" t="s">
        <v>37</v>
      </c>
      <c r="AL21" s="5" t="s">
        <v>38</v>
      </c>
      <c r="AM21" s="5" t="s">
        <v>39</v>
      </c>
      <c r="AN21" s="5" t="s">
        <v>40</v>
      </c>
      <c r="AO21" s="5" t="s">
        <v>41</v>
      </c>
      <c r="AP21" s="5" t="s">
        <v>42</v>
      </c>
      <c r="AQ21" s="5" t="s">
        <v>43</v>
      </c>
      <c r="AR21" s="5" t="s">
        <v>44</v>
      </c>
      <c r="AS21" s="5" t="s">
        <v>45</v>
      </c>
      <c r="AT21" s="5" t="s">
        <v>46</v>
      </c>
      <c r="AU21" s="5" t="s">
        <v>47</v>
      </c>
      <c r="AV21" s="5" t="s">
        <v>48</v>
      </c>
      <c r="AW21" s="5" t="s">
        <v>49</v>
      </c>
      <c r="AX21" s="5" t="s">
        <v>27</v>
      </c>
      <c r="AY21" s="5" t="s">
        <v>50</v>
      </c>
      <c r="AZ21" s="5" t="s">
        <v>51</v>
      </c>
      <c r="BA21" s="5" t="s">
        <v>209</v>
      </c>
      <c r="BB21" s="18" t="s">
        <v>179</v>
      </c>
      <c r="BC21" s="18" t="s">
        <v>180</v>
      </c>
      <c r="BD21" s="18" t="s">
        <v>182</v>
      </c>
      <c r="BE21" s="18" t="s">
        <v>181</v>
      </c>
      <c r="BF21" s="4" t="s">
        <v>184</v>
      </c>
      <c r="BG21" s="4" t="s">
        <v>184</v>
      </c>
      <c r="BH21" s="4" t="s">
        <v>184</v>
      </c>
      <c r="BI21" s="17" t="s">
        <v>184</v>
      </c>
    </row>
    <row r="22" spans="1:61" x14ac:dyDescent="0.25">
      <c r="A22" s="2" t="s">
        <v>210</v>
      </c>
      <c r="B22" s="2" t="s">
        <v>211</v>
      </c>
      <c r="C22" s="2" t="s">
        <v>52</v>
      </c>
      <c r="D22" s="2" t="s">
        <v>53</v>
      </c>
      <c r="E22" s="2" t="s">
        <v>54</v>
      </c>
      <c r="F22" s="2" t="s">
        <v>55</v>
      </c>
      <c r="G22" s="2" t="s">
        <v>212</v>
      </c>
      <c r="H22" s="2" t="s">
        <v>65</v>
      </c>
      <c r="I22" s="2"/>
      <c r="J22" s="2" t="s">
        <v>213</v>
      </c>
      <c r="K22" s="2"/>
      <c r="L22" s="2" t="s">
        <v>214</v>
      </c>
      <c r="M22" s="2"/>
      <c r="N22" s="2"/>
      <c r="O22" s="2" t="s">
        <v>215</v>
      </c>
      <c r="P22" s="2"/>
      <c r="Q22" s="2" t="s">
        <v>216</v>
      </c>
      <c r="R22" s="2" t="s">
        <v>216</v>
      </c>
      <c r="S22" s="2" t="s">
        <v>59</v>
      </c>
      <c r="T22" s="2" t="s">
        <v>59</v>
      </c>
      <c r="U22" s="2" t="s">
        <v>60</v>
      </c>
      <c r="V22" s="2" t="s">
        <v>75</v>
      </c>
      <c r="W22" s="2" t="s">
        <v>217</v>
      </c>
      <c r="X22" s="2"/>
      <c r="Y22" s="10" t="s">
        <v>74</v>
      </c>
      <c r="Z22" s="2" t="s">
        <v>218</v>
      </c>
      <c r="AA22" s="2" t="s">
        <v>219</v>
      </c>
      <c r="AB22" s="2" t="s">
        <v>220</v>
      </c>
      <c r="AC22" s="2" t="s">
        <v>221</v>
      </c>
      <c r="AD22" s="2" t="s">
        <v>222</v>
      </c>
      <c r="AE22" s="7">
        <v>45756</v>
      </c>
      <c r="AF22" s="2" t="s">
        <v>53</v>
      </c>
      <c r="AG22" s="2"/>
      <c r="AH22" s="2"/>
      <c r="AI22" s="2" t="s">
        <v>223</v>
      </c>
      <c r="AJ22" s="2"/>
      <c r="AK22" s="2"/>
      <c r="AL22" s="2"/>
      <c r="AM22" s="2"/>
      <c r="AN22" s="2"/>
      <c r="AO22" s="2"/>
      <c r="AP22" s="2" t="s">
        <v>213</v>
      </c>
      <c r="AQ22" s="2" t="s">
        <v>224</v>
      </c>
      <c r="AR22" s="2" t="s">
        <v>225</v>
      </c>
      <c r="AS22" s="2" t="s">
        <v>67</v>
      </c>
      <c r="AT22" s="2"/>
      <c r="AU22" s="2" t="s">
        <v>226</v>
      </c>
      <c r="AV22" s="2" t="s">
        <v>227</v>
      </c>
      <c r="AW22" s="2"/>
      <c r="AX22" s="2"/>
      <c r="AY22" s="2"/>
      <c r="AZ22" s="2" t="s">
        <v>228</v>
      </c>
      <c r="BA22" s="2" t="s">
        <v>229</v>
      </c>
      <c r="BB22" s="8">
        <v>90</v>
      </c>
      <c r="BC22" s="8">
        <v>10</v>
      </c>
      <c r="BD22" s="8">
        <v>0</v>
      </c>
      <c r="BE22" s="8">
        <v>100</v>
      </c>
      <c r="BF22" t="s">
        <v>230</v>
      </c>
      <c r="BG22" s="3" t="s">
        <v>74</v>
      </c>
      <c r="BH22" s="3" t="s">
        <v>207</v>
      </c>
      <c r="BI22" s="3" t="s">
        <v>231</v>
      </c>
    </row>
    <row r="30" spans="1:61" x14ac:dyDescent="0.25">
      <c r="AU30" s="4" t="s">
        <v>233</v>
      </c>
      <c r="AV30" s="21">
        <f>BF8</f>
        <v>294</v>
      </c>
    </row>
    <row r="31" spans="1:61" x14ac:dyDescent="0.25">
      <c r="AU31" s="4" t="s">
        <v>208</v>
      </c>
      <c r="AV31" s="20">
        <f>BF15</f>
        <v>194</v>
      </c>
    </row>
    <row r="32" spans="1:61" x14ac:dyDescent="0.25">
      <c r="AU32" s="4" t="s">
        <v>234</v>
      </c>
      <c r="AV32" s="20">
        <v>-100</v>
      </c>
    </row>
    <row r="33" spans="47:48" x14ac:dyDescent="0.25">
      <c r="AU33" s="4" t="s">
        <v>235</v>
      </c>
      <c r="AV33" s="21">
        <f>SUM(AV30:AV32)</f>
        <v>388</v>
      </c>
    </row>
  </sheetData>
  <autoFilter ref="A1:BF7" xr:uid="{00000000-0001-0000-0000-000000000000}">
    <sortState xmlns:xlrd2="http://schemas.microsoft.com/office/spreadsheetml/2017/richdata2" ref="A2:BF7">
      <sortCondition ref="Y1:Y7"/>
    </sortState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SORGENIA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Pascucci</dc:creator>
  <cp:lastModifiedBy>giuseppe cardillo</cp:lastModifiedBy>
  <dcterms:created xsi:type="dcterms:W3CDTF">2025-10-03T22:16:32Z</dcterms:created>
  <dcterms:modified xsi:type="dcterms:W3CDTF">2025-10-15T12:43:12Z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2025-10-04T00:12:04+02:00</dcterms:created>
  <dcterms:modified xsi:type="dcterms:W3CDTF">2025-10-04T00:12:04+02:00</dcterms:modified>
  <cp:revision>0</cp:revision>
</cp:coreProperties>
</file>